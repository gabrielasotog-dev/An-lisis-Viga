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ej\Desktop\EVALUACION 1\analysis\"/>
    </mc:Choice>
  </mc:AlternateContent>
  <xr:revisionPtr revIDLastSave="0" documentId="13_ncr:1_{B16B76B5-5DF2-46A3-9E7B-9860B0FA41C2}" xr6:coauthVersionLast="47" xr6:coauthVersionMax="47" xr10:uidLastSave="{00000000-0000-0000-0000-000000000000}"/>
  <bookViews>
    <workbookView xWindow="-98" yWindow="-98" windowWidth="21795" windowHeight="12975" xr2:uid="{42835B90-7B58-4D9C-99DA-22F82FBF39BF}"/>
  </bookViews>
  <sheets>
    <sheet name="Hoja2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I3" i="3"/>
  <c r="I4" i="3"/>
  <c r="I5" i="3"/>
  <c r="I6" i="3"/>
  <c r="I7" i="3"/>
  <c r="I8" i="3"/>
  <c r="I9" i="3"/>
  <c r="I10" i="3"/>
  <c r="I11" i="3"/>
  <c r="E4" i="3"/>
  <c r="E3" i="3"/>
  <c r="E2" i="3"/>
  <c r="D8" i="3" l="1"/>
  <c r="B18" i="3"/>
  <c r="B19" i="3"/>
  <c r="B20" i="3"/>
  <c r="B22" i="3"/>
  <c r="B23" i="3"/>
  <c r="B15" i="3"/>
  <c r="B21" i="3"/>
  <c r="B16" i="3"/>
  <c r="B17" i="3"/>
</calcChain>
</file>

<file path=xl/sharedStrings.xml><?xml version="1.0" encoding="utf-8"?>
<sst xmlns="http://schemas.openxmlformats.org/spreadsheetml/2006/main" count="20" uniqueCount="20">
  <si>
    <t>Carga (kN)</t>
  </si>
  <si>
    <t>Deflexión (mm)</t>
  </si>
  <si>
    <t>Datos medidos</t>
  </si>
  <si>
    <t>Parametros Viga</t>
  </si>
  <si>
    <t>E (Gpa)</t>
  </si>
  <si>
    <t>Luz entre los apoyos</t>
  </si>
  <si>
    <t>Ancho</t>
  </si>
  <si>
    <t>Altura</t>
  </si>
  <si>
    <t>Módulo de elasticidad</t>
  </si>
  <si>
    <t xml:space="preserve"> P (Carga en kN)</t>
  </si>
  <si>
    <t>δ (Deflexión en mm)</t>
  </si>
  <si>
    <t>L (mm)</t>
  </si>
  <si>
    <t>b(mm)</t>
  </si>
  <si>
    <t>h (mm)</t>
  </si>
  <si>
    <t xml:space="preserve"> I (Inercia Viga en mm^4)</t>
  </si>
  <si>
    <t>Comparación</t>
  </si>
  <si>
    <t>Deflexión teórica</t>
  </si>
  <si>
    <t>Diferencia relativa</t>
  </si>
  <si>
    <t>Defelexion teórica (mm)</t>
  </si>
  <si>
    <t>Deflexión real(mm)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</si>
</sst>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16" fillId="0" borderId="0" xfId="0" applyFont="1"/>
    <xf numFmtId="0" fontId="0" fillId="0" borderId="10" xfId="0" applyBorder="1"/>
    <xf numFmtId="0" fontId="0" fillId="0" borderId="11" xfId="0" applyFill="1" applyBorder="1"/>
    <xf numFmtId="9" fontId="0" fillId="0" borderId="10" xfId="42" applyFont="1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261939</xdr:colOff>
      <xdr:row>14</xdr:row>
      <xdr:rowOff>33337</xdr:rowOff>
    </xdr:from>
    <xdr:to>
      <xdr:col>4</xdr:col>
      <xdr:colOff>381001</xdr:colOff>
      <xdr:row>17</xdr:row>
      <xdr:rowOff>81598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0066DB-EA49-33C8-8560-D574A0E281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3177" y="2566987"/>
          <a:ext cx="1757362" cy="5911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A5EE-3026-4AC6-9B52-937E645E3D9C}">
  <dimension ref="A1:K25"/>
  <sheetViews>
    <sheetView tabSelected="1" workbookViewId="0">
      <selection activeCell="J3" sqref="J3"/>
    </sheetView>
  </sheetViews>
  <sheetFormatPr baseColWidth="10" defaultRowHeight="14.25" x14ac:dyDescent="0.45"/>
  <cols>
    <col min="1" max="1" width="14.33203125" customWidth="1"/>
    <col min="2" max="2" width="17.59765625" customWidth="1"/>
    <col min="4" max="4" width="12.265625" customWidth="1"/>
    <col min="9" max="9" width="20.6640625" customWidth="1"/>
    <col min="10" max="10" width="16.46484375" customWidth="1"/>
  </cols>
  <sheetData>
    <row r="1" spans="1:11" x14ac:dyDescent="0.45">
      <c r="A1" s="1" t="s">
        <v>2</v>
      </c>
      <c r="D1" s="1" t="s">
        <v>3</v>
      </c>
      <c r="E1" s="1"/>
      <c r="I1" s="1" t="s">
        <v>15</v>
      </c>
    </row>
    <row r="2" spans="1:11" x14ac:dyDescent="0.45">
      <c r="A2" s="2" t="s">
        <v>9</v>
      </c>
      <c r="B2" s="2" t="s">
        <v>10</v>
      </c>
      <c r="D2" s="2" t="s">
        <v>11</v>
      </c>
      <c r="E2" s="2">
        <f>4*1000</f>
        <v>4000</v>
      </c>
      <c r="F2" s="3" t="s">
        <v>5</v>
      </c>
      <c r="I2" t="s">
        <v>18</v>
      </c>
      <c r="J2" t="s">
        <v>19</v>
      </c>
      <c r="K2" t="s">
        <v>17</v>
      </c>
    </row>
    <row r="3" spans="1:11" x14ac:dyDescent="0.45">
      <c r="A3" s="2">
        <v>0</v>
      </c>
      <c r="B3" s="2">
        <v>0</v>
      </c>
      <c r="D3" s="2" t="s">
        <v>12</v>
      </c>
      <c r="E3" s="2">
        <f>0.2*1000</f>
        <v>200</v>
      </c>
      <c r="F3" t="s">
        <v>6</v>
      </c>
      <c r="I3" s="2">
        <f t="shared" ref="I3:I11" si="0">B15</f>
        <v>0</v>
      </c>
      <c r="J3" s="2">
        <v>0</v>
      </c>
      <c r="K3" s="4">
        <f>(J3-I3)</f>
        <v>0</v>
      </c>
    </row>
    <row r="4" spans="1:11" x14ac:dyDescent="0.45">
      <c r="A4" s="2">
        <v>5</v>
      </c>
      <c r="B4" s="2">
        <v>0.26</v>
      </c>
      <c r="D4" s="2" t="s">
        <v>13</v>
      </c>
      <c r="E4" s="2">
        <f>0.4*1000</f>
        <v>400</v>
      </c>
      <c r="F4" t="s">
        <v>7</v>
      </c>
      <c r="I4" s="2">
        <f t="shared" si="0"/>
        <v>0.25</v>
      </c>
      <c r="J4" s="2">
        <v>0.26</v>
      </c>
      <c r="K4" s="4">
        <f t="shared" ref="K4:K11" si="1">(J4-I4)/I4</f>
        <v>4.0000000000000036E-2</v>
      </c>
    </row>
    <row r="5" spans="1:11" x14ac:dyDescent="0.45">
      <c r="A5" s="2">
        <v>10</v>
      </c>
      <c r="B5" s="2">
        <v>0.5</v>
      </c>
      <c r="D5" s="2" t="s">
        <v>4</v>
      </c>
      <c r="E5" s="2">
        <v>25</v>
      </c>
      <c r="F5" t="s">
        <v>8</v>
      </c>
      <c r="I5" s="2">
        <f t="shared" si="0"/>
        <v>0.5</v>
      </c>
      <c r="J5" s="2">
        <v>0.5</v>
      </c>
      <c r="K5" s="4">
        <f t="shared" si="1"/>
        <v>0</v>
      </c>
    </row>
    <row r="6" spans="1:11" x14ac:dyDescent="0.45">
      <c r="A6" s="2">
        <v>15</v>
      </c>
      <c r="B6" s="2">
        <v>0.76</v>
      </c>
      <c r="I6" s="2">
        <f t="shared" si="0"/>
        <v>0.75</v>
      </c>
      <c r="J6" s="2">
        <v>0.76</v>
      </c>
      <c r="K6" s="4">
        <f t="shared" si="1"/>
        <v>1.3333333333333345E-2</v>
      </c>
    </row>
    <row r="7" spans="1:11" x14ac:dyDescent="0.45">
      <c r="A7" s="2">
        <v>20</v>
      </c>
      <c r="B7" s="2">
        <v>1.01</v>
      </c>
      <c r="D7" s="1" t="s">
        <v>14</v>
      </c>
      <c r="I7" s="2">
        <f t="shared" si="0"/>
        <v>1</v>
      </c>
      <c r="J7" s="2">
        <v>1.01</v>
      </c>
      <c r="K7" s="4">
        <f t="shared" si="1"/>
        <v>1.0000000000000009E-2</v>
      </c>
    </row>
    <row r="8" spans="1:11" x14ac:dyDescent="0.45">
      <c r="A8" s="2">
        <v>25</v>
      </c>
      <c r="B8" s="2">
        <v>1.28</v>
      </c>
      <c r="D8">
        <f>(E3*(E4^3))/12</f>
        <v>1066666666.6666666</v>
      </c>
      <c r="I8" s="2">
        <f t="shared" si="0"/>
        <v>1.25</v>
      </c>
      <c r="J8" s="2">
        <v>1.28</v>
      </c>
      <c r="K8" s="4">
        <f t="shared" si="1"/>
        <v>2.4000000000000021E-2</v>
      </c>
    </row>
    <row r="9" spans="1:11" x14ac:dyDescent="0.45">
      <c r="A9" s="2">
        <v>30</v>
      </c>
      <c r="B9" s="2">
        <v>1.54</v>
      </c>
      <c r="I9" s="2">
        <f t="shared" si="0"/>
        <v>1.5</v>
      </c>
      <c r="J9" s="2">
        <v>1.54</v>
      </c>
      <c r="K9" s="4">
        <f t="shared" si="1"/>
        <v>2.6666666666666689E-2</v>
      </c>
    </row>
    <row r="10" spans="1:11" x14ac:dyDescent="0.45">
      <c r="A10" s="2">
        <v>35</v>
      </c>
      <c r="B10" s="2">
        <v>1.77</v>
      </c>
      <c r="I10" s="2">
        <f t="shared" si="0"/>
        <v>1.75</v>
      </c>
      <c r="J10" s="2">
        <v>1.77</v>
      </c>
      <c r="K10" s="4">
        <f t="shared" si="1"/>
        <v>1.1428571428571439E-2</v>
      </c>
    </row>
    <row r="11" spans="1:11" x14ac:dyDescent="0.45">
      <c r="A11" s="2">
        <v>40</v>
      </c>
      <c r="B11" s="2">
        <v>2.0499999999999998</v>
      </c>
      <c r="I11" s="2">
        <f t="shared" si="0"/>
        <v>2</v>
      </c>
      <c r="J11" s="2">
        <v>2.0499999999999998</v>
      </c>
      <c r="K11" s="4">
        <f t="shared" si="1"/>
        <v>2.4999999999999911E-2</v>
      </c>
    </row>
    <row r="13" spans="1:11" x14ac:dyDescent="0.45">
      <c r="A13" s="1" t="s">
        <v>16</v>
      </c>
    </row>
    <row r="14" spans="1:11" x14ac:dyDescent="0.45">
      <c r="A14" s="2" t="s">
        <v>0</v>
      </c>
      <c r="B14" s="2" t="s">
        <v>1</v>
      </c>
    </row>
    <row r="15" spans="1:11" x14ac:dyDescent="0.45">
      <c r="A15" s="2">
        <v>0</v>
      </c>
      <c r="B15" s="2">
        <f>(($E$2^3)*A15)/(48*$E$5*$D$8)</f>
        <v>0</v>
      </c>
    </row>
    <row r="16" spans="1:11" x14ac:dyDescent="0.45">
      <c r="A16" s="2">
        <v>5</v>
      </c>
      <c r="B16" s="2">
        <f t="shared" ref="B16:B23" si="2">(($E$2^3)*A16)/(48*$E$5*$D$8)</f>
        <v>0.25</v>
      </c>
    </row>
    <row r="17" spans="1:2" x14ac:dyDescent="0.45">
      <c r="A17" s="2">
        <v>10</v>
      </c>
      <c r="B17" s="2">
        <f t="shared" si="2"/>
        <v>0.5</v>
      </c>
    </row>
    <row r="18" spans="1:2" x14ac:dyDescent="0.45">
      <c r="A18" s="2">
        <v>15</v>
      </c>
      <c r="B18" s="2">
        <f t="shared" si="2"/>
        <v>0.75</v>
      </c>
    </row>
    <row r="19" spans="1:2" x14ac:dyDescent="0.45">
      <c r="A19" s="2">
        <v>20</v>
      </c>
      <c r="B19" s="2">
        <f t="shared" si="2"/>
        <v>1</v>
      </c>
    </row>
    <row r="20" spans="1:2" x14ac:dyDescent="0.45">
      <c r="A20" s="2">
        <v>25</v>
      </c>
      <c r="B20" s="2">
        <f t="shared" si="2"/>
        <v>1.25</v>
      </c>
    </row>
    <row r="21" spans="1:2" x14ac:dyDescent="0.45">
      <c r="A21" s="2">
        <v>30</v>
      </c>
      <c r="B21" s="2">
        <f t="shared" si="2"/>
        <v>1.5</v>
      </c>
    </row>
    <row r="22" spans="1:2" x14ac:dyDescent="0.45">
      <c r="A22" s="2">
        <v>35</v>
      </c>
      <c r="B22" s="2">
        <f t="shared" si="2"/>
        <v>1.75</v>
      </c>
    </row>
    <row r="23" spans="1:2" x14ac:dyDescent="0.45">
      <c r="A23" s="2">
        <v>40</v>
      </c>
      <c r="B23" s="2">
        <f t="shared" si="2"/>
        <v>2</v>
      </c>
    </row>
    <row r="25" spans="1:2" x14ac:dyDescent="0.45">
      <c r="A25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galej</dc:creator>
  <cp:lastModifiedBy>Gabriela  Soto</cp:lastModifiedBy>
  <dcterms:created xsi:type="dcterms:W3CDTF">2026-10-05T11:57:19Z</dcterms:created>
  <dcterms:modified xsi:type="dcterms:W3CDTF">2026-10-05T13:10:36Z</dcterms:modified>
</cp:coreProperties>
</file>
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lej\Desktop\EVALUACION 1\analysis\"/>
    </mc:Choice>
  </mc:AlternateContent>
  <xr:revisionPtr revIDLastSave="0" documentId="13_ncr:1_{49BB253C-DD60-453F-ADA1-5500336A6471}" xr6:coauthVersionLast="47" xr6:coauthVersionMax="47" xr10:uidLastSave="{00000000-0000-0000-0000-000000000000}"/>
  <bookViews>
    <workbookView xWindow="-98" yWindow="-98" windowWidth="21795" windowHeight="12975" xr2:uid="{42835B90-7B58-4D9C-99DA-22F82FBF39BF}"/>
  </bookViews>
  <sheets>
    <sheet name="Calculos" sheetId="3" r:id="rId1"/>
    <sheet name="Gráfico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7" i="3" l="1"/>
  <c r="K21" i="3"/>
  <c r="K22" i="3"/>
  <c r="K16" i="3"/>
  <c r="I14" i="3"/>
  <c r="J14" i="3"/>
  <c r="I15" i="3"/>
  <c r="J15" i="3"/>
  <c r="I16" i="3"/>
  <c r="J16" i="3"/>
  <c r="I17" i="3"/>
  <c r="J17" i="3"/>
  <c r="K17" i="3" s="1"/>
  <c r="I18" i="3"/>
  <c r="J18" i="3"/>
  <c r="K18" i="3" s="1"/>
  <c r="I19" i="3"/>
  <c r="J19" i="3"/>
  <c r="K19" i="3" s="1"/>
  <c r="I20" i="3"/>
  <c r="J20" i="3"/>
  <c r="K20" i="3" s="1"/>
  <c r="I21" i="3"/>
  <c r="J21" i="3"/>
  <c r="I22" i="3"/>
  <c r="J22" i="3"/>
  <c r="I23" i="3"/>
  <c r="J23" i="3"/>
  <c r="K23" i="3" s="1"/>
  <c r="B1" i="4"/>
  <c r="C1" i="4"/>
  <c r="C2" i="4"/>
  <c r="C3" i="4"/>
  <c r="C4" i="4"/>
  <c r="C5" i="4"/>
  <c r="C6" i="4"/>
  <c r="C7" i="4"/>
  <c r="C8" i="4"/>
  <c r="C9" i="4"/>
  <c r="C10" i="4"/>
  <c r="E4" i="3"/>
  <c r="E3" i="3"/>
  <c r="E2" i="3"/>
  <c r="J26" i="3" l="1"/>
  <c r="J25" i="3"/>
  <c r="D8" i="3"/>
  <c r="B23" i="3" l="1"/>
  <c r="I11" i="3" s="1"/>
  <c r="B16" i="3"/>
  <c r="I4" i="3" s="1"/>
  <c r="B17" i="3"/>
  <c r="I5" i="3" s="1"/>
  <c r="B18" i="3"/>
  <c r="I6" i="3" s="1"/>
  <c r="B19" i="3"/>
  <c r="I7" i="3" s="1"/>
  <c r="B20" i="3"/>
  <c r="I8" i="3" s="1"/>
  <c r="B22" i="3"/>
  <c r="I10" i="3" s="1"/>
  <c r="B15" i="3"/>
  <c r="I3" i="3" s="1"/>
  <c r="B21" i="3"/>
  <c r="I9" i="3" s="1"/>
  <c r="K11" i="3" l="1"/>
  <c r="B10" i="4"/>
  <c r="B3" i="4"/>
  <c r="K4" i="3"/>
  <c r="K5" i="3"/>
  <c r="B4" i="4"/>
  <c r="K6" i="3"/>
  <c r="B5" i="4"/>
  <c r="B6" i="4"/>
  <c r="K7" i="3"/>
  <c r="K8" i="3"/>
  <c r="B7" i="4"/>
  <c r="K10" i="3"/>
  <c r="B9" i="4"/>
  <c r="K3" i="3"/>
  <c r="B2" i="4"/>
  <c r="K9" i="3"/>
  <c r="B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tc={BED67B36-F9E6-4B9C-A5D2-56BA2AD5CBE9}</author>
  </authors>
  <commentList>
    <comment ref="I13" authorId="0" shapeId="0" xr:uid="{BED67B36-F9E6-4B9C-A5D2-56BA2AD5CBE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La razón deflexión/carga presenta un valor promedio de  0,051 mm/Kn, con un coef. de variación  de menos del 2%. Esta  constancia confirma que la viga opera dentro del régimen elástico lineal y valida la consistencia de los datos experimentales. 
</t>
      </text>
    </comment>
  </commentList>
</comments>
</file>

<file path=xl/sharedStrings.xml><?xml version="1.0" encoding="utf-8"?>
<sst xmlns="http://schemas.openxmlformats.org/spreadsheetml/2006/main" count="28" uniqueCount="26">
  <si>
    <t>Carga (kN)</t>
  </si>
  <si>
    <t>Deflexión (mm)</t>
  </si>
  <si>
    <t>Datos medidos</t>
  </si>
  <si>
    <t>Parametros Viga</t>
  </si>
  <si>
    <t>E (Gpa)</t>
  </si>
  <si>
    <t>Luz entre los apoyos</t>
  </si>
  <si>
    <t>Ancho</t>
  </si>
  <si>
    <t>Altura</t>
  </si>
  <si>
    <t>Módulo de elasticidad</t>
  </si>
  <si>
    <t xml:space="preserve"> P (Carga en kN)</t>
  </si>
  <si>
    <t>δ (Deflexión en mm)</t>
  </si>
  <si>
    <t>L (mm)</t>
  </si>
  <si>
    <t>b(mm)</t>
  </si>
  <si>
    <t>h (mm)</t>
  </si>
  <si>
    <t xml:space="preserve"> I (Inercia Viga en mm^4)</t>
  </si>
  <si>
    <t>Comparación</t>
  </si>
  <si>
    <t>Deflexión teórica</t>
  </si>
  <si>
    <t>Diferencia relativa</t>
  </si>
  <si>
    <t>Deflexión real(mm)</t>
  </si>
  <si>
    <t>Deflexión teórica (mm)</t>
  </si>
  <si>
    <t>Verificación</t>
  </si>
  <si>
    <t>Promedio δ/P</t>
  </si>
  <si>
    <t>δ/P (mm/kN)</t>
  </si>
  <si>
    <t>Desviación estandar  δ/P</t>
  </si>
  <si>
    <t>mm/kN</t>
  </si>
  <si>
    <t>Coef. De Variación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</si>
</sst>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71" formatCode="0.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16" fillId="0" borderId="0" xfId="0" applyFont="1"/>
    <xf numFmtId="0" fontId="0" fillId="0" borderId="10" xfId="0" applyBorder="1"/>
    <xf numFmtId="0" fontId="0" fillId="0" borderId="11" xfId="0" applyBorder="1"/>
    <xf numFmtId="9" fontId="0" fillId="0" borderId="10" xfId="42" applyFont="1" applyBorder="1"/>
    <xf numFmtId="164" fontId="0" fillId="0" borderId="10" xfId="0" applyNumberFormat="1" applyBorder="1"/>
    <xf numFmtId="171" fontId="0" fillId="0" borderId="10" xfId="42" applyNumberFormat="1" applyFont="1" applyBorder="1"/>
    <xf numFmtId="10" fontId="0" fillId="0" borderId="10" xfId="42" applyNumberFormat="1" applyFont="1" applyBorder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Porcentaje" xfId="42" builtinId="5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 sz="1400" b="0" i="0" u="none" strike="noStrike" baseline="0"/>
              <a:t>Comparación Carga vs. Deflexión </a:t>
            </a:r>
            <a:endParaRPr lang="es-C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Deflexión teórica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Gráfico!$A$2:$A$10</c:f>
              <c:numCache>
                <c:formatCode>General</c:formatCode>
                <c:ptCount val="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</c:numCache>
            </c:numRef>
          </c:xVal>
          <c:yVal>
            <c:numRef>
              <c:f>Gráfico!$B$2:$B$10</c:f>
              <c:numCache>
                <c:formatCode>General</c:formatCode>
                <c:ptCount val="9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442-4A97-B488-C68F6453AAE6}"/>
            </c:ext>
          </c:extLst>
        </c:ser>
        <c:ser>
          <c:idx val="1"/>
          <c:order val="1"/>
          <c:tx>
            <c:v>Deflexión real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Gráfico!$A$2:$A$10</c:f>
              <c:numCache>
                <c:formatCode>General</c:formatCode>
                <c:ptCount val="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</c:numCache>
            </c:numRef>
          </c:xVal>
          <c:yVal>
            <c:numRef>
              <c:f>Gráfico!$C$2:$C$10</c:f>
              <c:numCache>
                <c:formatCode>General</c:formatCode>
                <c:ptCount val="9"/>
                <c:pt idx="0">
                  <c:v>0</c:v>
                </c:pt>
                <c:pt idx="1">
                  <c:v>0.26</c:v>
                </c:pt>
                <c:pt idx="2">
                  <c:v>0.5</c:v>
                </c:pt>
                <c:pt idx="3">
                  <c:v>0.76</c:v>
                </c:pt>
                <c:pt idx="4">
                  <c:v>1.01</c:v>
                </c:pt>
                <c:pt idx="5">
                  <c:v>1.28</c:v>
                </c:pt>
                <c:pt idx="6">
                  <c:v>1.54</c:v>
                </c:pt>
                <c:pt idx="7">
                  <c:v>1.77</c:v>
                </c:pt>
                <c:pt idx="8">
                  <c:v>2.0499999999999998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442-4A97-B488-C68F6453AA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9358224"/>
        <c:axId val="2003646800"/>
      </c:scatterChart>
      <c:valAx>
        <c:axId val="1929358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Carga</a:t>
                </a:r>
                <a:r>
                  <a:rPr lang="es-CL" baseline="0"/>
                  <a:t> P (kN)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003646800"/>
        <c:crosses val="autoZero"/>
        <c:crossBetween val="midCat"/>
      </c:valAx>
      <c:valAx>
        <c:axId val="200364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Deflexión </a:t>
                </a:r>
                <a:r>
                  <a:rPr lang="el-GR"/>
                  <a:t>δ (</a:t>
                </a:r>
                <a:r>
                  <a:rPr lang="en-US"/>
                  <a:t>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929358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261939</xdr:colOff>
      <xdr:row>14</xdr:row>
      <xdr:rowOff>33337</xdr:rowOff>
    </xdr:from>
    <xdr:to>
      <xdr:col>4</xdr:col>
      <xdr:colOff>381001</xdr:colOff>
      <xdr:row>17</xdr:row>
      <xdr:rowOff>81598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50066DB-EA49-33C8-8560-D574A0E281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3177" y="2566987"/>
          <a:ext cx="1757362" cy="59118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128587</xdr:colOff>
      <xdr:row>11</xdr:row>
      <xdr:rowOff>161924</xdr:rowOff>
    </xdr:from>
    <xdr:to>
      <xdr:col>3</xdr:col>
      <xdr:colOff>695324</xdr:colOff>
      <xdr:row>27</xdr:row>
      <xdr:rowOff>9524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2A797B0-963C-F6E3-3AC5-3362DD344E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Gabriela  Soto" id="{7F00B2C2-3996-4058-B6AE-7ED535477C25}" userId="S::gabriela.soto.g@usach.cl::e57b149e-2ef5-4ecc-88a0-4c04e6363b38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13" dT="2026-10-05T14:16:32.12" personId="{7F00B2C2-3996-4058-B6AE-7ED535477C25}" id="{BED67B36-F9E6-4B9C-A5D2-56BA2AD5CBE9}">
    <text xml:space="preserve">
 La razón deflexión/carga presenta un valor promedio de  0,051 mm/Kn, con un coef. de variación  de menos del 2%. Esta  constancia confirma que la viga opera dentro del régimen elástico lineal y valida la consistencia de los datos experimentales. 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9A5EE-3026-4AC6-9B52-937E645E3D9C}">
  <dimension ref="A1:K27"/>
  <sheetViews>
    <sheetView tabSelected="1" topLeftCell="G13" workbookViewId="0">
      <selection activeCell="J33" sqref="J33"/>
    </sheetView>
  </sheetViews>
  <sheetFormatPr baseColWidth="10" defaultRowHeight="14.25" x14ac:dyDescent="0.45"/>
  <cols>
    <col min="1" max="1" width="14.33203125" customWidth="1"/>
    <col min="2" max="2" width="17.59765625" customWidth="1"/>
    <col min="4" max="4" width="12.265625" customWidth="1"/>
    <col min="9" max="9" width="20.6640625" customWidth="1"/>
    <col min="10" max="10" width="16.46484375" customWidth="1"/>
    <col min="12" max="12" width="12.53125" customWidth="1"/>
  </cols>
  <sheetData>
    <row r="1" spans="1:11" x14ac:dyDescent="0.45">
      <c r="A1" s="1" t="s">
        <v>2</v>
      </c>
      <c r="D1" s="1" t="s">
        <v>3</v>
      </c>
      <c r="E1" s="1"/>
      <c r="I1" s="1" t="s">
        <v>15</v>
      </c>
    </row>
    <row r="2" spans="1:11" x14ac:dyDescent="0.45">
      <c r="A2" s="2" t="s">
        <v>9</v>
      </c>
      <c r="B2" s="2" t="s">
        <v>10</v>
      </c>
      <c r="D2" s="2" t="s">
        <v>11</v>
      </c>
      <c r="E2" s="2">
        <f>4*1000</f>
        <v>4000</v>
      </c>
      <c r="F2" s="3" t="s">
        <v>5</v>
      </c>
      <c r="I2" t="s">
        <v>19</v>
      </c>
      <c r="J2" t="s">
        <v>18</v>
      </c>
      <c r="K2" t="s">
        <v>17</v>
      </c>
    </row>
    <row r="3" spans="1:11" x14ac:dyDescent="0.45">
      <c r="A3" s="2">
        <v>0</v>
      </c>
      <c r="B3" s="2">
        <v>0</v>
      </c>
      <c r="D3" s="2" t="s">
        <v>12</v>
      </c>
      <c r="E3" s="2">
        <f>0.2*1000</f>
        <v>200</v>
      </c>
      <c r="F3" t="s">
        <v>6</v>
      </c>
      <c r="I3" s="2">
        <f t="shared" ref="I3:I11" si="0">B15</f>
        <v>0</v>
      </c>
      <c r="J3" s="2">
        <v>0</v>
      </c>
      <c r="K3" s="4">
        <f>(J3-I3)</f>
        <v>0</v>
      </c>
    </row>
    <row r="4" spans="1:11" x14ac:dyDescent="0.45">
      <c r="A4" s="2">
        <v>5</v>
      </c>
      <c r="B4" s="2">
        <v>0.26</v>
      </c>
      <c r="D4" s="2" t="s">
        <v>13</v>
      </c>
      <c r="E4" s="2">
        <f>0.4*1000</f>
        <v>400</v>
      </c>
      <c r="F4" t="s">
        <v>7</v>
      </c>
      <c r="I4" s="2">
        <f t="shared" si="0"/>
        <v>0.25</v>
      </c>
      <c r="J4" s="2">
        <v>0.26</v>
      </c>
      <c r="K4" s="4">
        <f t="shared" ref="K4:K11" si="1">(J4-I4)/I4</f>
        <v>4.0000000000000036E-2</v>
      </c>
    </row>
    <row r="5" spans="1:11" x14ac:dyDescent="0.45">
      <c r="A5" s="2">
        <v>10</v>
      </c>
      <c r="B5" s="2">
        <v>0.5</v>
      </c>
      <c r="D5" s="2" t="s">
        <v>4</v>
      </c>
      <c r="E5" s="2">
        <v>25</v>
      </c>
      <c r="F5" t="s">
        <v>8</v>
      </c>
      <c r="I5" s="2">
        <f t="shared" si="0"/>
        <v>0.5</v>
      </c>
      <c r="J5" s="2">
        <v>0.5</v>
      </c>
      <c r="K5" s="4">
        <f t="shared" si="1"/>
        <v>0</v>
      </c>
    </row>
    <row r="6" spans="1:11" x14ac:dyDescent="0.45">
      <c r="A6" s="2">
        <v>15</v>
      </c>
      <c r="B6" s="2">
        <v>0.76</v>
      </c>
      <c r="I6" s="2">
        <f t="shared" si="0"/>
        <v>0.75</v>
      </c>
      <c r="J6" s="2">
        <v>0.76</v>
      </c>
      <c r="K6" s="4">
        <f t="shared" si="1"/>
        <v>1.3333333333333345E-2</v>
      </c>
    </row>
    <row r="7" spans="1:11" x14ac:dyDescent="0.45">
      <c r="A7" s="2">
        <v>20</v>
      </c>
      <c r="B7" s="2">
        <v>1.01</v>
      </c>
      <c r="D7" s="1" t="s">
        <v>14</v>
      </c>
      <c r="I7" s="2">
        <f t="shared" si="0"/>
        <v>1</v>
      </c>
      <c r="J7" s="2">
        <v>1.01</v>
      </c>
      <c r="K7" s="4">
        <f t="shared" si="1"/>
        <v>1.0000000000000009E-2</v>
      </c>
    </row>
    <row r="8" spans="1:11" x14ac:dyDescent="0.45">
      <c r="A8" s="2">
        <v>25</v>
      </c>
      <c r="B8" s="2">
        <v>1.28</v>
      </c>
      <c r="D8">
        <f>(E3*(E4^3))/12</f>
        <v>1066666666.6666666</v>
      </c>
      <c r="I8" s="2">
        <f t="shared" si="0"/>
        <v>1.25</v>
      </c>
      <c r="J8" s="2">
        <v>1.28</v>
      </c>
      <c r="K8" s="4">
        <f t="shared" si="1"/>
        <v>2.4000000000000021E-2</v>
      </c>
    </row>
    <row r="9" spans="1:11" x14ac:dyDescent="0.45">
      <c r="A9" s="2">
        <v>30</v>
      </c>
      <c r="B9" s="2">
        <v>1.54</v>
      </c>
      <c r="I9" s="2">
        <f t="shared" si="0"/>
        <v>1.5</v>
      </c>
      <c r="J9" s="2">
        <v>1.54</v>
      </c>
      <c r="K9" s="4">
        <f t="shared" si="1"/>
        <v>2.6666666666666689E-2</v>
      </c>
    </row>
    <row r="10" spans="1:11" x14ac:dyDescent="0.45">
      <c r="A10" s="2">
        <v>35</v>
      </c>
      <c r="B10" s="2">
        <v>1.77</v>
      </c>
      <c r="I10" s="2">
        <f t="shared" si="0"/>
        <v>1.75</v>
      </c>
      <c r="J10" s="2">
        <v>1.77</v>
      </c>
      <c r="K10" s="4">
        <f t="shared" si="1"/>
        <v>1.1428571428571439E-2</v>
      </c>
    </row>
    <row r="11" spans="1:11" x14ac:dyDescent="0.45">
      <c r="A11" s="2">
        <v>40</v>
      </c>
      <c r="B11" s="2">
        <v>2.0499999999999998</v>
      </c>
      <c r="I11" s="2">
        <f t="shared" si="0"/>
        <v>2</v>
      </c>
      <c r="J11" s="2">
        <v>2.0499999999999998</v>
      </c>
      <c r="K11" s="4">
        <f t="shared" si="1"/>
        <v>2.4999999999999911E-2</v>
      </c>
    </row>
    <row r="13" spans="1:11" x14ac:dyDescent="0.45">
      <c r="A13" s="1" t="s">
        <v>16</v>
      </c>
      <c r="I13" s="1" t="s">
        <v>20</v>
      </c>
    </row>
    <row r="14" spans="1:11" x14ac:dyDescent="0.45">
      <c r="A14" s="2" t="s">
        <v>0</v>
      </c>
      <c r="B14" s="2" t="s">
        <v>1</v>
      </c>
      <c r="I14" s="2" t="str">
        <f t="shared" ref="I14:I23" si="2">A2</f>
        <v xml:space="preserve"> P (Carga en kN)</v>
      </c>
      <c r="J14" s="2" t="str">
        <f t="shared" ref="J14:J23" si="3">B2</f>
        <v>δ (Deflexión en mm)</v>
      </c>
      <c r="K14" s="2" t="s">
        <v>22</v>
      </c>
    </row>
    <row r="15" spans="1:11" x14ac:dyDescent="0.45">
      <c r="A15" s="2">
        <v>0</v>
      </c>
      <c r="B15" s="2">
        <f>(($E$2^3)*A15)/(48*$E$5*$D$8)</f>
        <v>0</v>
      </c>
      <c r="I15" s="2">
        <f t="shared" si="2"/>
        <v>0</v>
      </c>
      <c r="J15" s="2">
        <f t="shared" si="3"/>
        <v>0</v>
      </c>
      <c r="K15" s="2"/>
    </row>
    <row r="16" spans="1:11" x14ac:dyDescent="0.45">
      <c r="A16" s="2">
        <v>5</v>
      </c>
      <c r="B16" s="2">
        <f t="shared" ref="B16:B23" si="4">(($E$2^3)*A16)/(48*$E$5*$D$8)</f>
        <v>0.25</v>
      </c>
      <c r="I16" s="2">
        <f t="shared" si="2"/>
        <v>5</v>
      </c>
      <c r="J16" s="2">
        <f t="shared" si="3"/>
        <v>0.26</v>
      </c>
      <c r="K16" s="2">
        <f>J16/I16</f>
        <v>5.2000000000000005E-2</v>
      </c>
    </row>
    <row r="17" spans="1:11" x14ac:dyDescent="0.45">
      <c r="A17" s="2">
        <v>10</v>
      </c>
      <c r="B17" s="2">
        <f t="shared" si="4"/>
        <v>0.5</v>
      </c>
      <c r="I17" s="2">
        <f t="shared" si="2"/>
        <v>10</v>
      </c>
      <c r="J17" s="2">
        <f t="shared" si="3"/>
        <v>0.5</v>
      </c>
      <c r="K17" s="2">
        <f t="shared" ref="K17:K23" si="5">J17/I17</f>
        <v>0.05</v>
      </c>
    </row>
    <row r="18" spans="1:11" x14ac:dyDescent="0.45">
      <c r="A18" s="2">
        <v>15</v>
      </c>
      <c r="B18" s="2">
        <f t="shared" si="4"/>
        <v>0.75</v>
      </c>
      <c r="I18" s="2">
        <f t="shared" si="2"/>
        <v>15</v>
      </c>
      <c r="J18" s="2">
        <f t="shared" si="3"/>
        <v>0.76</v>
      </c>
      <c r="K18" s="2">
        <f t="shared" si="5"/>
        <v>5.0666666666666665E-2</v>
      </c>
    </row>
    <row r="19" spans="1:11" x14ac:dyDescent="0.45">
      <c r="A19" s="2">
        <v>20</v>
      </c>
      <c r="B19" s="2">
        <f t="shared" si="4"/>
        <v>1</v>
      </c>
      <c r="I19" s="2">
        <f t="shared" si="2"/>
        <v>20</v>
      </c>
      <c r="J19" s="2">
        <f t="shared" si="3"/>
        <v>1.01</v>
      </c>
      <c r="K19" s="2">
        <f t="shared" si="5"/>
        <v>5.0500000000000003E-2</v>
      </c>
    </row>
    <row r="20" spans="1:11" x14ac:dyDescent="0.45">
      <c r="A20" s="2">
        <v>25</v>
      </c>
      <c r="B20" s="2">
        <f t="shared" si="4"/>
        <v>1.25</v>
      </c>
      <c r="I20" s="2">
        <f t="shared" si="2"/>
        <v>25</v>
      </c>
      <c r="J20" s="2">
        <f t="shared" si="3"/>
        <v>1.28</v>
      </c>
      <c r="K20" s="2">
        <f t="shared" si="5"/>
        <v>5.1200000000000002E-2</v>
      </c>
    </row>
    <row r="21" spans="1:11" x14ac:dyDescent="0.45">
      <c r="A21" s="2">
        <v>30</v>
      </c>
      <c r="B21" s="2">
        <f t="shared" si="4"/>
        <v>1.5</v>
      </c>
      <c r="I21" s="2">
        <f t="shared" si="2"/>
        <v>30</v>
      </c>
      <c r="J21" s="2">
        <f t="shared" si="3"/>
        <v>1.54</v>
      </c>
      <c r="K21" s="2">
        <f t="shared" si="5"/>
        <v>5.1333333333333335E-2</v>
      </c>
    </row>
    <row r="22" spans="1:11" x14ac:dyDescent="0.45">
      <c r="A22" s="2">
        <v>35</v>
      </c>
      <c r="B22" s="2">
        <f t="shared" si="4"/>
        <v>1.75</v>
      </c>
      <c r="I22" s="2">
        <f t="shared" si="2"/>
        <v>35</v>
      </c>
      <c r="J22" s="2">
        <f t="shared" si="3"/>
        <v>1.77</v>
      </c>
      <c r="K22" s="2">
        <f t="shared" si="5"/>
        <v>5.0571428571428573E-2</v>
      </c>
    </row>
    <row r="23" spans="1:11" x14ac:dyDescent="0.45">
      <c r="A23" s="2">
        <v>40</v>
      </c>
      <c r="B23" s="2">
        <f t="shared" si="4"/>
        <v>2</v>
      </c>
      <c r="I23" s="2">
        <f t="shared" si="2"/>
        <v>40</v>
      </c>
      <c r="J23" s="2">
        <f t="shared" si="3"/>
        <v>2.0499999999999998</v>
      </c>
      <c r="K23" s="2">
        <f t="shared" si="5"/>
        <v>5.1249999999999997E-2</v>
      </c>
    </row>
    <row r="25" spans="1:11" x14ac:dyDescent="0.45">
      <c r="A25" s="1"/>
      <c r="I25" s="2" t="s">
        <v>21</v>
      </c>
      <c r="J25" s="5">
        <f>AVERAGE(K16:K23)</f>
        <v>5.0940178571428574E-2</v>
      </c>
      <c r="K25" s="2" t="s">
        <v>24</v>
      </c>
    </row>
    <row r="26" spans="1:11" x14ac:dyDescent="0.45">
      <c r="I26" s="2" t="s">
        <v>23</v>
      </c>
      <c r="J26" s="6">
        <f>_xlfn.STDEV.S(K16:K23)</f>
        <v>6.2447313393879339E-4</v>
      </c>
      <c r="K26" s="2" t="s">
        <v>24</v>
      </c>
    </row>
    <row r="27" spans="1:11" x14ac:dyDescent="0.45">
      <c r="I27" s="2" t="s">
        <v>25</v>
      </c>
      <c r="J27" s="7">
        <f>J26/J25</f>
        <v>1.2258950625058255E-2</v>
      </c>
    </row>
  </sheetData>
  <pageMargins left="0.7" right="0.7" top="0.75" bottom="0.75" header="0.3" footer="0.3"/>
  <pageSetup paperSize="9" orientation="portrait" horizontalDpi="0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BF21B-EC22-431C-80C5-6E31AC1DC882}">
  <dimension ref="A1:C10"/>
  <sheetViews>
    <sheetView workbookViewId="0">
      <selection activeCell="E1" sqref="E1"/>
    </sheetView>
  </sheetViews>
  <sheetFormatPr baseColWidth="10" defaultRowHeight="14.25" x14ac:dyDescent="0.45"/>
  <cols>
    <col min="1" max="1" width="16.265625" customWidth="1"/>
    <col min="2" max="2" width="20.73046875" customWidth="1"/>
    <col min="3" max="3" width="19.06640625" customWidth="1"/>
  </cols>
  <sheetData>
    <row r="1" spans="1:3" x14ac:dyDescent="0.45">
      <c r="A1" s="2" t="s">
        <v>9</v>
      </c>
      <c r="B1" s="2" t="str">
        <f>Calculos!I2</f>
        <v>Deflexión teórica (mm)</v>
      </c>
      <c r="C1" s="2" t="str">
        <f>Calculos!J2</f>
        <v>Deflexión real(mm)</v>
      </c>
    </row>
    <row r="2" spans="1:3" x14ac:dyDescent="0.45">
      <c r="A2" s="2">
        <v>0</v>
      </c>
      <c r="B2" s="2">
        <f>Calculos!I3</f>
        <v>0</v>
      </c>
      <c r="C2" s="2">
        <f>Calculos!J3</f>
        <v>0</v>
      </c>
    </row>
    <row r="3" spans="1:3" x14ac:dyDescent="0.45">
      <c r="A3" s="2">
        <v>5</v>
      </c>
      <c r="B3" s="2">
        <f>Calculos!I4</f>
        <v>0.25</v>
      </c>
      <c r="C3" s="2">
        <f>Calculos!J4</f>
        <v>0.26</v>
      </c>
    </row>
    <row r="4" spans="1:3" x14ac:dyDescent="0.45">
      <c r="A4" s="2">
        <v>10</v>
      </c>
      <c r="B4" s="2">
        <f>Calculos!I5</f>
        <v>0.5</v>
      </c>
      <c r="C4" s="2">
        <f>Calculos!J5</f>
        <v>0.5</v>
      </c>
    </row>
    <row r="5" spans="1:3" x14ac:dyDescent="0.45">
      <c r="A5" s="2">
        <v>15</v>
      </c>
      <c r="B5" s="2">
        <f>Calculos!I6</f>
        <v>0.75</v>
      </c>
      <c r="C5" s="2">
        <f>Calculos!J6</f>
        <v>0.76</v>
      </c>
    </row>
    <row r="6" spans="1:3" x14ac:dyDescent="0.45">
      <c r="A6" s="2">
        <v>20</v>
      </c>
      <c r="B6" s="2">
        <f>Calculos!I7</f>
        <v>1</v>
      </c>
      <c r="C6" s="2">
        <f>Calculos!J7</f>
        <v>1.01</v>
      </c>
    </row>
    <row r="7" spans="1:3" x14ac:dyDescent="0.45">
      <c r="A7" s="2">
        <v>25</v>
      </c>
      <c r="B7" s="2">
        <f>Calculos!I8</f>
        <v>1.25</v>
      </c>
      <c r="C7" s="2">
        <f>Calculos!J8</f>
        <v>1.28</v>
      </c>
    </row>
    <row r="8" spans="1:3" x14ac:dyDescent="0.45">
      <c r="A8" s="2">
        <v>30</v>
      </c>
      <c r="B8" s="2">
        <f>Calculos!I9</f>
        <v>1.5</v>
      </c>
      <c r="C8" s="2">
        <f>Calculos!J9</f>
        <v>1.54</v>
      </c>
    </row>
    <row r="9" spans="1:3" x14ac:dyDescent="0.45">
      <c r="A9" s="2">
        <v>35</v>
      </c>
      <c r="B9" s="2">
        <f>Calculos!I10</f>
        <v>1.75</v>
      </c>
      <c r="C9" s="2">
        <f>Calculos!J10</f>
        <v>1.77</v>
      </c>
    </row>
    <row r="10" spans="1:3" x14ac:dyDescent="0.45">
      <c r="A10" s="2">
        <v>40</v>
      </c>
      <c r="B10" s="2">
        <f>Calculos!I11</f>
        <v>2</v>
      </c>
      <c r="C10" s="2">
        <f>Calculos!J11</f>
        <v>2.0499999999999998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Calculos</vt:lpstr>
      <vt:lpstr>Gráfico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galej</dc:creator>
  <cp:lastModifiedBy>Gabriela  Soto</cp:lastModifiedBy>
  <dcterms:created xsi:type="dcterms:W3CDTF">2026-10-05T11:57:19Z</dcterms:created>
  <dcterms:modified xsi:type="dcterms:W3CDTF">2026-10-05T20:16:14Z</dcterms:modified>
</cp:coreProperties>
</file>